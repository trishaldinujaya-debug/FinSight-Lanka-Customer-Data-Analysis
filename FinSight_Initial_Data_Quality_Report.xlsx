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8925"/>
  </bookViews>
  <sheets>
    <sheet name="Column_Summary" sheetId="1" r:id="rId1"/>
    <sheet name="Duplicate_Customers" sheetId="2" r:id="rId2"/>
    <sheet name="Potential_Issues" sheetId="3" r:id="rId3"/>
  </sheets>
  <calcPr calcId="152511"/>
</workbook>
</file>

<file path=xl/calcChain.xml><?xml version="1.0" encoding="utf-8"?>
<calcChain xmlns="http://schemas.openxmlformats.org/spreadsheetml/2006/main">
  <c r="E6" i="2" l="1"/>
</calcChain>
</file>

<file path=xl/sharedStrings.xml><?xml version="1.0" encoding="utf-8"?>
<sst xmlns="http://schemas.openxmlformats.org/spreadsheetml/2006/main" count="515" uniqueCount="120">
  <si>
    <t>Column</t>
  </si>
  <si>
    <t>Missing_Values</t>
  </si>
  <si>
    <t>Duplicate_Values</t>
  </si>
  <si>
    <t>Data_Type</t>
  </si>
  <si>
    <t>Customer_ID</t>
  </si>
  <si>
    <t>object</t>
  </si>
  <si>
    <t>Full_Name</t>
  </si>
  <si>
    <t>NIC_Number</t>
  </si>
  <si>
    <t>Gender</t>
  </si>
  <si>
    <t>Date_of_Birth</t>
  </si>
  <si>
    <t>datetime64[ns]</t>
  </si>
  <si>
    <t>Age</t>
  </si>
  <si>
    <t>int64</t>
  </si>
  <si>
    <t>District</t>
  </si>
  <si>
    <t>Province</t>
  </si>
  <si>
    <t>Urban_Rural</t>
  </si>
  <si>
    <t>Customer_Segment</t>
  </si>
  <si>
    <t>Account_Open_Date</t>
  </si>
  <si>
    <t>Customer_Tenure_Years</t>
  </si>
  <si>
    <t>float64</t>
  </si>
  <si>
    <t>Savings_Balance</t>
  </si>
  <si>
    <t>Monthly_Deposit_Avg</t>
  </si>
  <si>
    <t>Monthly_Withdrawal_Avg</t>
  </si>
  <si>
    <t>Net_Monthly_Flow</t>
  </si>
  <si>
    <t>Account_Status</t>
  </si>
  <si>
    <t>Interest_Rate_Tier</t>
  </si>
  <si>
    <t>Has_Loan</t>
  </si>
  <si>
    <t>Loan_Type</t>
  </si>
  <si>
    <t>Loan_Amount</t>
  </si>
  <si>
    <t>Loan_Tenure_Months</t>
  </si>
  <si>
    <t>Monthly_Repayment_Amount</t>
  </si>
  <si>
    <t>Loan_Repayment_Status</t>
  </si>
  <si>
    <t>Loan_Start_Date</t>
  </si>
  <si>
    <t>Outstanding_Loan_Balance</t>
  </si>
  <si>
    <t>Mobile_App_User</t>
  </si>
  <si>
    <t>Last_Login_Date</t>
  </si>
  <si>
    <t>Monthly_Transaction_Count</t>
  </si>
  <si>
    <t>Preferred_Channel</t>
  </si>
  <si>
    <t>Push_Notification_Enabled</t>
  </si>
  <si>
    <t>KYC_Status</t>
  </si>
  <si>
    <t>KYC_Last_Updated</t>
  </si>
  <si>
    <t>Suspicious_Activity_Flag</t>
  </si>
  <si>
    <t>PEP_Flag</t>
  </si>
  <si>
    <t>Has_Fixed_Deposit</t>
  </si>
  <si>
    <t>FD_Amount</t>
  </si>
  <si>
    <t>Has_Insurance</t>
  </si>
  <si>
    <t>Has_Mobile_Wallet</t>
  </si>
  <si>
    <t>Number_of_Products</t>
  </si>
  <si>
    <t>Acquisition_Channel</t>
  </si>
  <si>
    <t>Referral_Source</t>
  </si>
  <si>
    <t>Last_Campaign_Response</t>
  </si>
  <si>
    <t>Promo_Code_Used</t>
  </si>
  <si>
    <t>FSL-0011</t>
  </si>
  <si>
    <t>Joshua Mitchell</t>
  </si>
  <si>
    <t>862063426V</t>
  </si>
  <si>
    <t>Male</t>
  </si>
  <si>
    <t>Kurunegala</t>
  </si>
  <si>
    <t>North Western</t>
  </si>
  <si>
    <t>Urban</t>
  </si>
  <si>
    <t>Regular</t>
  </si>
  <si>
    <t>Active</t>
  </si>
  <si>
    <t>Silver</t>
  </si>
  <si>
    <t>No</t>
  </si>
  <si>
    <t>Yes</t>
  </si>
  <si>
    <t>Branch</t>
  </si>
  <si>
    <t>Verified</t>
  </si>
  <si>
    <t>Referral</t>
  </si>
  <si>
    <t>Ignored</t>
  </si>
  <si>
    <t>FSL-0046</t>
  </si>
  <si>
    <t>Nicole Morris</t>
  </si>
  <si>
    <t>012378685V</t>
  </si>
  <si>
    <t>Ratnapura</t>
  </si>
  <si>
    <t>Sabaragamuwa</t>
  </si>
  <si>
    <t>Suburban</t>
  </si>
  <si>
    <t>Starter</t>
  </si>
  <si>
    <t>Standard</t>
  </si>
  <si>
    <t>Online</t>
  </si>
  <si>
    <t>Responded</t>
  </si>
  <si>
    <t>FSL-0089</t>
  </si>
  <si>
    <t>Catherine Mitchell</t>
  </si>
  <si>
    <t>821642369V</t>
  </si>
  <si>
    <t>Matara</t>
  </si>
  <si>
    <t>Southern</t>
  </si>
  <si>
    <t>Inactive</t>
  </si>
  <si>
    <t>Digital</t>
  </si>
  <si>
    <t>FSL-0131</t>
  </si>
  <si>
    <t>Ryan Torres</t>
  </si>
  <si>
    <t>992664913V</t>
  </si>
  <si>
    <t>Trincomalee</t>
  </si>
  <si>
    <t>Eastern</t>
  </si>
  <si>
    <t>Agent</t>
  </si>
  <si>
    <t>Unsubscribed</t>
  </si>
  <si>
    <t>Pending</t>
  </si>
  <si>
    <t>FSL-0201</t>
  </si>
  <si>
    <t>Nancy Johnson</t>
  </si>
  <si>
    <t>821599078V</t>
  </si>
  <si>
    <t>Gampaha</t>
  </si>
  <si>
    <t>Western</t>
  </si>
  <si>
    <t>Friend</t>
  </si>
  <si>
    <t>FSL-0281</t>
  </si>
  <si>
    <t>Linda Scott</t>
  </si>
  <si>
    <t>916433090V</t>
  </si>
  <si>
    <t>Female</t>
  </si>
  <si>
    <t>Colleague</t>
  </si>
  <si>
    <t>FSL-0351</t>
  </si>
  <si>
    <t>Charles Morgan</t>
  </si>
  <si>
    <t>850611344V</t>
  </si>
  <si>
    <t>Rural</t>
  </si>
  <si>
    <t>717648100V</t>
  </si>
  <si>
    <t>FSL-0421</t>
  </si>
  <si>
    <t>Nicole Roberts</t>
  </si>
  <si>
    <t>918354937V</t>
  </si>
  <si>
    <t>Family</t>
  </si>
  <si>
    <t>827457336V</t>
  </si>
  <si>
    <t>Issue</t>
  </si>
  <si>
    <t>Count</t>
  </si>
  <si>
    <t>Invalid Age</t>
  </si>
  <si>
    <t>Negative values in Savings_Balance</t>
  </si>
  <si>
    <t>Negative values in Loan_Amount</t>
  </si>
  <si>
    <t>Negative values in Outstanding_Loan_Balance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</si>
</sst>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/>
  </sheetViews>
  <sheetFormatPr defaultRowHeight="15" x14ac:dyDescent="0.25"/>
  <cols>
    <col min="1" max="1" width="17.5703125" customWidth="1"/>
    <col min="3" max="3" width="18.140625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8</v>
      </c>
      <c r="D2" t="s">
        <v>5</v>
      </c>
    </row>
    <row r="3" spans="1:4" x14ac:dyDescent="0.25">
      <c r="A3" t="s">
        <v>6</v>
      </c>
      <c r="B3">
        <v>8</v>
      </c>
      <c r="C3">
        <v>51</v>
      </c>
      <c r="D3" t="s">
        <v>5</v>
      </c>
    </row>
    <row r="4" spans="1:4" x14ac:dyDescent="0.25">
      <c r="A4" t="s">
        <v>7</v>
      </c>
      <c r="B4">
        <v>0</v>
      </c>
      <c r="C4">
        <v>9</v>
      </c>
      <c r="D4" t="s">
        <v>5</v>
      </c>
    </row>
    <row r="5" spans="1:4" x14ac:dyDescent="0.25">
      <c r="A5" t="s">
        <v>8</v>
      </c>
      <c r="B5">
        <v>0</v>
      </c>
      <c r="C5">
        <v>500</v>
      </c>
      <c r="D5" t="s">
        <v>5</v>
      </c>
    </row>
    <row r="6" spans="1:4" x14ac:dyDescent="0.25">
      <c r="A6" t="s">
        <v>9</v>
      </c>
      <c r="B6">
        <v>0</v>
      </c>
      <c r="C6">
        <v>13</v>
      </c>
      <c r="D6" t="s">
        <v>10</v>
      </c>
    </row>
    <row r="7" spans="1:4" x14ac:dyDescent="0.25">
      <c r="A7" t="s">
        <v>11</v>
      </c>
      <c r="B7">
        <v>0</v>
      </c>
      <c r="C7">
        <v>471</v>
      </c>
      <c r="D7" t="s">
        <v>12</v>
      </c>
    </row>
    <row r="8" spans="1:4" x14ac:dyDescent="0.25">
      <c r="A8" t="s">
        <v>13</v>
      </c>
      <c r="B8">
        <v>5</v>
      </c>
      <c r="C8">
        <v>493</v>
      </c>
      <c r="D8" t="s">
        <v>5</v>
      </c>
    </row>
    <row r="9" spans="1:4" x14ac:dyDescent="0.25">
      <c r="A9" t="s">
        <v>14</v>
      </c>
      <c r="B9">
        <v>0</v>
      </c>
      <c r="C9">
        <v>500</v>
      </c>
      <c r="D9" t="s">
        <v>5</v>
      </c>
    </row>
    <row r="10" spans="1:4" x14ac:dyDescent="0.25">
      <c r="A10" t="s">
        <v>15</v>
      </c>
      <c r="B10">
        <v>0</v>
      </c>
      <c r="C10">
        <v>505</v>
      </c>
      <c r="D10" t="s">
        <v>5</v>
      </c>
    </row>
    <row r="11" spans="1:4" x14ac:dyDescent="0.25">
      <c r="A11" t="s">
        <v>16</v>
      </c>
      <c r="B11">
        <v>5</v>
      </c>
      <c r="C11">
        <v>504</v>
      </c>
      <c r="D11" t="s">
        <v>5</v>
      </c>
    </row>
    <row r="12" spans="1:4" x14ac:dyDescent="0.25">
      <c r="A12" t="s">
        <v>17</v>
      </c>
      <c r="B12">
        <v>0</v>
      </c>
      <c r="C12">
        <v>49</v>
      </c>
      <c r="D12" t="s">
        <v>10</v>
      </c>
    </row>
    <row r="13" spans="1:4" x14ac:dyDescent="0.25">
      <c r="A13" t="s">
        <v>18</v>
      </c>
      <c r="B13">
        <v>0</v>
      </c>
      <c r="C13">
        <v>417</v>
      </c>
      <c r="D13" t="s">
        <v>19</v>
      </c>
    </row>
    <row r="14" spans="1:4" x14ac:dyDescent="0.25">
      <c r="A14" t="s">
        <v>20</v>
      </c>
      <c r="B14">
        <v>6</v>
      </c>
      <c r="C14">
        <v>13</v>
      </c>
      <c r="D14" t="s">
        <v>19</v>
      </c>
    </row>
    <row r="15" spans="1:4" x14ac:dyDescent="0.25">
      <c r="A15" t="s">
        <v>21</v>
      </c>
      <c r="B15">
        <v>6</v>
      </c>
      <c r="C15">
        <v>13</v>
      </c>
      <c r="D15" t="s">
        <v>19</v>
      </c>
    </row>
    <row r="16" spans="1:4" x14ac:dyDescent="0.25">
      <c r="A16" t="s">
        <v>22</v>
      </c>
      <c r="B16">
        <v>0</v>
      </c>
      <c r="C16">
        <v>8</v>
      </c>
      <c r="D16" t="s">
        <v>19</v>
      </c>
    </row>
    <row r="17" spans="1:4" x14ac:dyDescent="0.25">
      <c r="A17" t="s">
        <v>23</v>
      </c>
      <c r="B17">
        <v>0</v>
      </c>
      <c r="C17">
        <v>8</v>
      </c>
      <c r="D17" t="s">
        <v>19</v>
      </c>
    </row>
    <row r="18" spans="1:4" x14ac:dyDescent="0.25">
      <c r="A18" t="s">
        <v>24</v>
      </c>
      <c r="B18">
        <v>0</v>
      </c>
      <c r="C18">
        <v>501</v>
      </c>
      <c r="D18" t="s">
        <v>5</v>
      </c>
    </row>
    <row r="19" spans="1:4" x14ac:dyDescent="0.25">
      <c r="A19" t="s">
        <v>25</v>
      </c>
      <c r="B19">
        <v>0</v>
      </c>
      <c r="C19">
        <v>505</v>
      </c>
      <c r="D19" t="s">
        <v>5</v>
      </c>
    </row>
    <row r="20" spans="1:4" x14ac:dyDescent="0.25">
      <c r="A20" t="s">
        <v>26</v>
      </c>
      <c r="B20">
        <v>5</v>
      </c>
      <c r="C20">
        <v>505</v>
      </c>
      <c r="D20" t="s">
        <v>5</v>
      </c>
    </row>
    <row r="21" spans="1:4" x14ac:dyDescent="0.25">
      <c r="A21" t="s">
        <v>27</v>
      </c>
      <c r="B21">
        <v>290</v>
      </c>
      <c r="C21">
        <v>503</v>
      </c>
      <c r="D21" t="s">
        <v>5</v>
      </c>
    </row>
    <row r="22" spans="1:4" x14ac:dyDescent="0.25">
      <c r="A22" t="s">
        <v>28</v>
      </c>
      <c r="B22">
        <v>291</v>
      </c>
      <c r="C22">
        <v>290</v>
      </c>
      <c r="D22" t="s">
        <v>19</v>
      </c>
    </row>
    <row r="23" spans="1:4" x14ac:dyDescent="0.25">
      <c r="A23" t="s">
        <v>29</v>
      </c>
      <c r="B23">
        <v>290</v>
      </c>
      <c r="C23">
        <v>502</v>
      </c>
      <c r="D23" t="s">
        <v>19</v>
      </c>
    </row>
    <row r="24" spans="1:4" x14ac:dyDescent="0.25">
      <c r="A24" t="s">
        <v>30</v>
      </c>
      <c r="B24">
        <v>290</v>
      </c>
      <c r="C24">
        <v>289</v>
      </c>
      <c r="D24" t="s">
        <v>19</v>
      </c>
    </row>
    <row r="25" spans="1:4" x14ac:dyDescent="0.25">
      <c r="A25" t="s">
        <v>31</v>
      </c>
      <c r="B25">
        <v>288</v>
      </c>
      <c r="C25">
        <v>504</v>
      </c>
      <c r="D25" t="s">
        <v>5</v>
      </c>
    </row>
    <row r="26" spans="1:4" x14ac:dyDescent="0.25">
      <c r="A26" t="s">
        <v>32</v>
      </c>
      <c r="B26">
        <v>288</v>
      </c>
      <c r="C26">
        <v>296</v>
      </c>
      <c r="D26" t="s">
        <v>10</v>
      </c>
    </row>
    <row r="27" spans="1:4" x14ac:dyDescent="0.25">
      <c r="A27" t="s">
        <v>33</v>
      </c>
      <c r="B27">
        <v>289</v>
      </c>
      <c r="C27">
        <v>288</v>
      </c>
      <c r="D27" t="s">
        <v>19</v>
      </c>
    </row>
    <row r="28" spans="1:4" x14ac:dyDescent="0.25">
      <c r="A28" t="s">
        <v>34</v>
      </c>
      <c r="B28">
        <v>0</v>
      </c>
      <c r="C28">
        <v>506</v>
      </c>
      <c r="D28" t="s">
        <v>5</v>
      </c>
    </row>
    <row r="29" spans="1:4" x14ac:dyDescent="0.25">
      <c r="A29" t="s">
        <v>35</v>
      </c>
      <c r="B29">
        <v>169</v>
      </c>
      <c r="C29">
        <v>331</v>
      </c>
      <c r="D29" t="s">
        <v>10</v>
      </c>
    </row>
    <row r="30" spans="1:4" x14ac:dyDescent="0.25">
      <c r="A30" t="s">
        <v>36</v>
      </c>
      <c r="B30">
        <v>0</v>
      </c>
      <c r="C30">
        <v>472</v>
      </c>
      <c r="D30" t="s">
        <v>12</v>
      </c>
    </row>
    <row r="31" spans="1:4" x14ac:dyDescent="0.25">
      <c r="A31" t="s">
        <v>37</v>
      </c>
      <c r="B31">
        <v>0</v>
      </c>
      <c r="C31">
        <v>504</v>
      </c>
      <c r="D31" t="s">
        <v>5</v>
      </c>
    </row>
    <row r="32" spans="1:4" x14ac:dyDescent="0.25">
      <c r="A32" t="s">
        <v>38</v>
      </c>
      <c r="B32">
        <v>0</v>
      </c>
      <c r="C32">
        <v>506</v>
      </c>
      <c r="D32" t="s">
        <v>5</v>
      </c>
    </row>
    <row r="33" spans="1:4" x14ac:dyDescent="0.25">
      <c r="A33" t="s">
        <v>39</v>
      </c>
      <c r="B33">
        <v>7</v>
      </c>
      <c r="C33">
        <v>504</v>
      </c>
      <c r="D33" t="s">
        <v>5</v>
      </c>
    </row>
    <row r="34" spans="1:4" x14ac:dyDescent="0.25">
      <c r="A34" t="s">
        <v>40</v>
      </c>
      <c r="B34">
        <v>0</v>
      </c>
      <c r="C34">
        <v>82</v>
      </c>
      <c r="D34" t="s">
        <v>10</v>
      </c>
    </row>
    <row r="35" spans="1:4" x14ac:dyDescent="0.25">
      <c r="A35" t="s">
        <v>41</v>
      </c>
      <c r="B35">
        <v>0</v>
      </c>
      <c r="C35">
        <v>506</v>
      </c>
      <c r="D35" t="s">
        <v>5</v>
      </c>
    </row>
    <row r="36" spans="1:4" x14ac:dyDescent="0.25">
      <c r="A36" t="s">
        <v>42</v>
      </c>
      <c r="B36">
        <v>0</v>
      </c>
      <c r="C36">
        <v>506</v>
      </c>
      <c r="D36" t="s">
        <v>5</v>
      </c>
    </row>
    <row r="37" spans="1:4" x14ac:dyDescent="0.25">
      <c r="A37" t="s">
        <v>43</v>
      </c>
      <c r="B37">
        <v>0</v>
      </c>
      <c r="C37">
        <v>506</v>
      </c>
      <c r="D37" t="s">
        <v>5</v>
      </c>
    </row>
    <row r="38" spans="1:4" x14ac:dyDescent="0.25">
      <c r="A38" t="s">
        <v>44</v>
      </c>
      <c r="B38">
        <v>358</v>
      </c>
      <c r="C38">
        <v>362</v>
      </c>
      <c r="D38" t="s">
        <v>19</v>
      </c>
    </row>
    <row r="39" spans="1:4" x14ac:dyDescent="0.25">
      <c r="A39" t="s">
        <v>45</v>
      </c>
      <c r="B39">
        <v>0</v>
      </c>
      <c r="C39">
        <v>506</v>
      </c>
      <c r="D39" t="s">
        <v>5</v>
      </c>
    </row>
    <row r="40" spans="1:4" x14ac:dyDescent="0.25">
      <c r="A40" t="s">
        <v>46</v>
      </c>
      <c r="B40">
        <v>0</v>
      </c>
      <c r="C40">
        <v>506</v>
      </c>
      <c r="D40" t="s">
        <v>5</v>
      </c>
    </row>
    <row r="41" spans="1:4" x14ac:dyDescent="0.25">
      <c r="A41" t="s">
        <v>47</v>
      </c>
      <c r="B41">
        <v>0</v>
      </c>
      <c r="C41">
        <v>502</v>
      </c>
      <c r="D41" t="s">
        <v>12</v>
      </c>
    </row>
    <row r="42" spans="1:4" x14ac:dyDescent="0.25">
      <c r="A42" t="s">
        <v>48</v>
      </c>
      <c r="B42">
        <v>0</v>
      </c>
      <c r="C42">
        <v>504</v>
      </c>
      <c r="D42" t="s">
        <v>5</v>
      </c>
    </row>
    <row r="43" spans="1:4" x14ac:dyDescent="0.25">
      <c r="A43" t="s">
        <v>49</v>
      </c>
      <c r="B43">
        <v>252</v>
      </c>
      <c r="C43">
        <v>504</v>
      </c>
      <c r="D43" t="s">
        <v>5</v>
      </c>
    </row>
    <row r="44" spans="1:4" x14ac:dyDescent="0.25">
      <c r="A44" t="s">
        <v>50</v>
      </c>
      <c r="B44">
        <v>0</v>
      </c>
      <c r="C44">
        <v>505</v>
      </c>
      <c r="D44" t="s">
        <v>5</v>
      </c>
    </row>
    <row r="45" spans="1:4" x14ac:dyDescent="0.25">
      <c r="A45" t="s">
        <v>51</v>
      </c>
      <c r="B45">
        <v>0</v>
      </c>
      <c r="C45">
        <v>506</v>
      </c>
      <c r="D4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workbookViewId="0">
      <selection activeCell="F20" sqref="F20"/>
    </sheetView>
  </sheetViews>
  <sheetFormatPr defaultRowHeight="15" x14ac:dyDescent="0.25"/>
  <cols>
    <col min="1" max="1" width="12.5703125" customWidth="1"/>
    <col min="2" max="2" width="13" customWidth="1"/>
    <col min="3" max="3" width="12.7109375" customWidth="1"/>
    <col min="5" max="5" width="23.7109375" customWidth="1"/>
    <col min="11" max="11" width="27" customWidth="1"/>
    <col min="28" max="28" width="22.140625" customWidth="1"/>
    <col min="33" max="33" width="18.7109375" customWidth="1"/>
  </cols>
  <sheetData>
    <row r="1" spans="1:44" x14ac:dyDescent="0.25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11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</row>
    <row r="2" spans="1:44" x14ac:dyDescent="0.25">
      <c r="A2" t="s">
        <v>52</v>
      </c>
      <c r="B2" t="s">
        <v>53</v>
      </c>
      <c r="C2" t="s">
        <v>54</v>
      </c>
      <c r="D2" t="s">
        <v>55</v>
      </c>
      <c r="E2" s="2">
        <v>31618</v>
      </c>
      <c r="F2">
        <v>37</v>
      </c>
      <c r="G2" t="s">
        <v>56</v>
      </c>
      <c r="H2" t="s">
        <v>57</v>
      </c>
      <c r="I2" t="s">
        <v>58</v>
      </c>
      <c r="J2" t="s">
        <v>59</v>
      </c>
      <c r="K2" s="2">
        <v>45265</v>
      </c>
      <c r="L2">
        <v>0.1</v>
      </c>
      <c r="M2">
        <v>778313.09</v>
      </c>
      <c r="N2">
        <v>17429.3</v>
      </c>
      <c r="O2">
        <v>8970.61</v>
      </c>
      <c r="P2">
        <v>8458.69</v>
      </c>
      <c r="Q2" t="s">
        <v>60</v>
      </c>
      <c r="R2" t="s">
        <v>61</v>
      </c>
      <c r="S2" t="s">
        <v>62</v>
      </c>
      <c r="AA2" t="s">
        <v>63</v>
      </c>
      <c r="AB2" s="2">
        <v>45221</v>
      </c>
      <c r="AC2">
        <v>28</v>
      </c>
      <c r="AD2" t="s">
        <v>64</v>
      </c>
      <c r="AE2" t="s">
        <v>62</v>
      </c>
      <c r="AF2" t="s">
        <v>65</v>
      </c>
      <c r="AG2" s="2">
        <v>44163</v>
      </c>
      <c r="AH2" t="s">
        <v>62</v>
      </c>
      <c r="AI2" t="s">
        <v>62</v>
      </c>
      <c r="AJ2" t="s">
        <v>62</v>
      </c>
      <c r="AL2" t="s">
        <v>63</v>
      </c>
      <c r="AM2" t="s">
        <v>62</v>
      </c>
      <c r="AN2">
        <v>2</v>
      </c>
      <c r="AO2" t="s">
        <v>66</v>
      </c>
      <c r="AQ2" t="s">
        <v>67</v>
      </c>
      <c r="AR2" t="s">
        <v>62</v>
      </c>
    </row>
    <row r="3" spans="1:44" x14ac:dyDescent="0.25">
      <c r="A3" t="s">
        <v>52</v>
      </c>
      <c r="B3" t="s">
        <v>53</v>
      </c>
      <c r="C3" t="s">
        <v>54</v>
      </c>
      <c r="D3" t="s">
        <v>55</v>
      </c>
      <c r="E3" s="2">
        <v>31618</v>
      </c>
      <c r="F3">
        <v>37</v>
      </c>
      <c r="G3" t="s">
        <v>56</v>
      </c>
      <c r="H3" t="s">
        <v>57</v>
      </c>
      <c r="I3" t="s">
        <v>58</v>
      </c>
      <c r="J3" t="s">
        <v>59</v>
      </c>
      <c r="K3" s="2">
        <v>45265</v>
      </c>
      <c r="L3">
        <v>0.1</v>
      </c>
      <c r="M3">
        <v>778313.09</v>
      </c>
      <c r="N3">
        <v>17429.3</v>
      </c>
      <c r="O3">
        <v>8970.61</v>
      </c>
      <c r="P3">
        <v>8458.69</v>
      </c>
      <c r="Q3" t="s">
        <v>60</v>
      </c>
      <c r="R3" t="s">
        <v>61</v>
      </c>
      <c r="S3" t="s">
        <v>62</v>
      </c>
      <c r="AA3" t="s">
        <v>63</v>
      </c>
      <c r="AB3" s="2">
        <v>45221</v>
      </c>
      <c r="AC3">
        <v>28</v>
      </c>
      <c r="AD3" t="s">
        <v>64</v>
      </c>
      <c r="AE3" t="s">
        <v>62</v>
      </c>
      <c r="AF3" t="s">
        <v>65</v>
      </c>
      <c r="AG3" s="2">
        <v>44163</v>
      </c>
      <c r="AH3" t="s">
        <v>62</v>
      </c>
      <c r="AI3" t="s">
        <v>62</v>
      </c>
      <c r="AJ3" t="s">
        <v>62</v>
      </c>
      <c r="AL3" t="s">
        <v>63</v>
      </c>
      <c r="AM3" t="s">
        <v>62</v>
      </c>
      <c r="AN3">
        <v>2</v>
      </c>
      <c r="AO3" t="s">
        <v>66</v>
      </c>
      <c r="AQ3" t="s">
        <v>67</v>
      </c>
      <c r="AR3" t="s">
        <v>62</v>
      </c>
    </row>
    <row r="4" spans="1:44" x14ac:dyDescent="0.25">
      <c r="A4" t="s">
        <v>68</v>
      </c>
      <c r="B4" t="s">
        <v>69</v>
      </c>
      <c r="C4" t="s">
        <v>70</v>
      </c>
      <c r="D4" t="s">
        <v>55</v>
      </c>
      <c r="E4" s="2">
        <v>37128</v>
      </c>
      <c r="F4">
        <v>22</v>
      </c>
      <c r="G4" t="s">
        <v>71</v>
      </c>
      <c r="H4" t="s">
        <v>72</v>
      </c>
      <c r="I4" t="s">
        <v>73</v>
      </c>
      <c r="J4" t="s">
        <v>74</v>
      </c>
      <c r="K4" s="2">
        <v>42082</v>
      </c>
      <c r="L4">
        <v>8.8000000000000007</v>
      </c>
      <c r="M4">
        <v>42108.97</v>
      </c>
      <c r="N4">
        <v>2951.75</v>
      </c>
      <c r="O4">
        <v>1857.48</v>
      </c>
      <c r="P4">
        <v>1094.27</v>
      </c>
      <c r="Q4" t="s">
        <v>60</v>
      </c>
      <c r="R4" t="s">
        <v>75</v>
      </c>
      <c r="S4" t="s">
        <v>62</v>
      </c>
      <c r="AA4" t="s">
        <v>63</v>
      </c>
      <c r="AB4" s="2">
        <v>45151</v>
      </c>
      <c r="AC4">
        <v>17</v>
      </c>
      <c r="AD4" t="s">
        <v>76</v>
      </c>
      <c r="AE4" t="s">
        <v>63</v>
      </c>
      <c r="AF4" t="s">
        <v>65</v>
      </c>
      <c r="AG4" s="2">
        <v>45139</v>
      </c>
      <c r="AH4" t="s">
        <v>62</v>
      </c>
      <c r="AI4" t="s">
        <v>62</v>
      </c>
      <c r="AJ4" t="s">
        <v>63</v>
      </c>
      <c r="AK4">
        <v>1819779.08</v>
      </c>
      <c r="AL4" t="s">
        <v>62</v>
      </c>
      <c r="AM4" t="s">
        <v>63</v>
      </c>
      <c r="AN4">
        <v>3</v>
      </c>
      <c r="AO4" t="s">
        <v>64</v>
      </c>
      <c r="AQ4" t="s">
        <v>77</v>
      </c>
      <c r="AR4" t="s">
        <v>62</v>
      </c>
    </row>
    <row r="5" spans="1:44" x14ac:dyDescent="0.25">
      <c r="A5" t="s">
        <v>68</v>
      </c>
      <c r="B5" t="s">
        <v>69</v>
      </c>
      <c r="C5" t="s">
        <v>70</v>
      </c>
      <c r="D5" t="s">
        <v>55</v>
      </c>
      <c r="E5" s="2">
        <v>37128</v>
      </c>
      <c r="F5">
        <v>22</v>
      </c>
      <c r="G5" t="s">
        <v>71</v>
      </c>
      <c r="H5" t="s">
        <v>72</v>
      </c>
      <c r="I5" t="s">
        <v>73</v>
      </c>
      <c r="J5" t="s">
        <v>74</v>
      </c>
      <c r="K5" s="2">
        <v>42082</v>
      </c>
      <c r="L5">
        <v>8.8000000000000007</v>
      </c>
      <c r="M5">
        <v>42108.97</v>
      </c>
      <c r="N5">
        <v>2951.75</v>
      </c>
      <c r="O5">
        <v>1857.48</v>
      </c>
      <c r="P5">
        <v>1094.27</v>
      </c>
      <c r="Q5" t="s">
        <v>60</v>
      </c>
      <c r="R5" t="s">
        <v>75</v>
      </c>
      <c r="S5" t="s">
        <v>62</v>
      </c>
      <c r="AA5" t="s">
        <v>63</v>
      </c>
      <c r="AB5" s="2">
        <v>45151</v>
      </c>
      <c r="AC5">
        <v>17</v>
      </c>
      <c r="AD5" t="s">
        <v>76</v>
      </c>
      <c r="AE5" t="s">
        <v>63</v>
      </c>
      <c r="AF5" t="s">
        <v>65</v>
      </c>
      <c r="AG5" s="2">
        <v>45139</v>
      </c>
      <c r="AH5" t="s">
        <v>62</v>
      </c>
      <c r="AI5" t="s">
        <v>62</v>
      </c>
      <c r="AJ5" t="s">
        <v>63</v>
      </c>
      <c r="AK5">
        <v>1819779.08</v>
      </c>
      <c r="AL5" t="s">
        <v>62</v>
      </c>
      <c r="AM5" t="s">
        <v>63</v>
      </c>
      <c r="AN5">
        <v>3</v>
      </c>
      <c r="AO5" t="s">
        <v>64</v>
      </c>
      <c r="AQ5" t="s">
        <v>77</v>
      </c>
      <c r="AR5" t="s">
        <v>62</v>
      </c>
    </row>
    <row r="6" spans="1:44" x14ac:dyDescent="0.25">
      <c r="A6" t="s">
        <v>78</v>
      </c>
      <c r="B6" t="s">
        <v>79</v>
      </c>
      <c r="C6" t="s">
        <v>80</v>
      </c>
      <c r="D6" t="s">
        <v>55</v>
      </c>
      <c r="E6" s="2">
        <f>F21-3581</f>
        <v>-3581</v>
      </c>
      <c r="F6">
        <v>134</v>
      </c>
      <c r="G6" t="s">
        <v>81</v>
      </c>
      <c r="H6" t="s">
        <v>82</v>
      </c>
      <c r="I6" t="s">
        <v>58</v>
      </c>
      <c r="J6" t="s">
        <v>74</v>
      </c>
      <c r="K6" s="2">
        <v>42641</v>
      </c>
      <c r="L6">
        <v>7.3</v>
      </c>
      <c r="M6">
        <v>82776.58</v>
      </c>
      <c r="N6">
        <v>3596.14</v>
      </c>
      <c r="O6">
        <v>2447.4499999999998</v>
      </c>
      <c r="P6">
        <v>1148.69</v>
      </c>
      <c r="Q6" t="s">
        <v>83</v>
      </c>
      <c r="R6" t="s">
        <v>75</v>
      </c>
      <c r="S6" t="s">
        <v>62</v>
      </c>
      <c r="AA6" t="s">
        <v>63</v>
      </c>
      <c r="AB6" s="2">
        <v>45256</v>
      </c>
      <c r="AC6">
        <v>29</v>
      </c>
      <c r="AD6" t="s">
        <v>64</v>
      </c>
      <c r="AE6" t="s">
        <v>63</v>
      </c>
      <c r="AF6" t="s">
        <v>65</v>
      </c>
      <c r="AG6" s="2">
        <v>44720</v>
      </c>
      <c r="AH6" t="s">
        <v>62</v>
      </c>
      <c r="AI6" t="s">
        <v>62</v>
      </c>
      <c r="AJ6" t="s">
        <v>63</v>
      </c>
      <c r="AK6">
        <v>1365551.2</v>
      </c>
      <c r="AL6" t="s">
        <v>62</v>
      </c>
      <c r="AM6" t="s">
        <v>63</v>
      </c>
      <c r="AN6">
        <v>3</v>
      </c>
      <c r="AO6" t="s">
        <v>84</v>
      </c>
      <c r="AQ6" t="s">
        <v>77</v>
      </c>
      <c r="AR6" t="s">
        <v>63</v>
      </c>
    </row>
    <row r="7" spans="1:44" x14ac:dyDescent="0.25">
      <c r="A7" t="s">
        <v>78</v>
      </c>
      <c r="B7" t="s">
        <v>79</v>
      </c>
      <c r="C7" t="s">
        <v>80</v>
      </c>
      <c r="D7" t="s">
        <v>55</v>
      </c>
      <c r="E7" s="2">
        <v>30115</v>
      </c>
      <c r="F7">
        <v>41</v>
      </c>
      <c r="G7" t="s">
        <v>81</v>
      </c>
      <c r="H7" t="s">
        <v>82</v>
      </c>
      <c r="I7" t="s">
        <v>58</v>
      </c>
      <c r="J7" t="s">
        <v>74</v>
      </c>
      <c r="K7" s="2">
        <v>42641</v>
      </c>
      <c r="L7">
        <v>7.3</v>
      </c>
      <c r="M7">
        <v>82776.58</v>
      </c>
      <c r="N7">
        <v>3596.14</v>
      </c>
      <c r="O7">
        <v>2447.4499999999998</v>
      </c>
      <c r="P7">
        <v>1148.69</v>
      </c>
      <c r="Q7" t="s">
        <v>83</v>
      </c>
      <c r="R7" t="s">
        <v>75</v>
      </c>
      <c r="S7" t="s">
        <v>62</v>
      </c>
      <c r="AA7" t="s">
        <v>63</v>
      </c>
      <c r="AB7" s="2">
        <v>45256</v>
      </c>
      <c r="AC7">
        <v>29</v>
      </c>
      <c r="AD7" t="s">
        <v>64</v>
      </c>
      <c r="AE7" t="s">
        <v>63</v>
      </c>
      <c r="AF7" t="s">
        <v>65</v>
      </c>
      <c r="AG7" s="2">
        <v>44720</v>
      </c>
      <c r="AH7" t="s">
        <v>62</v>
      </c>
      <c r="AI7" t="s">
        <v>62</v>
      </c>
      <c r="AJ7" t="s">
        <v>63</v>
      </c>
      <c r="AK7">
        <v>1365551.2</v>
      </c>
      <c r="AL7" t="s">
        <v>62</v>
      </c>
      <c r="AM7" t="s">
        <v>63</v>
      </c>
      <c r="AN7">
        <v>3</v>
      </c>
      <c r="AO7" t="s">
        <v>84</v>
      </c>
      <c r="AQ7" t="s">
        <v>77</v>
      </c>
      <c r="AR7" t="s">
        <v>63</v>
      </c>
    </row>
    <row r="8" spans="1:44" x14ac:dyDescent="0.25">
      <c r="A8" t="s">
        <v>85</v>
      </c>
      <c r="B8" t="s">
        <v>86</v>
      </c>
      <c r="C8" t="s">
        <v>87</v>
      </c>
      <c r="D8" t="s">
        <v>55</v>
      </c>
      <c r="E8" s="2">
        <v>36426</v>
      </c>
      <c r="F8">
        <v>24</v>
      </c>
      <c r="G8" t="s">
        <v>88</v>
      </c>
      <c r="H8" t="s">
        <v>89</v>
      </c>
      <c r="I8" t="s">
        <v>73</v>
      </c>
      <c r="J8" t="s">
        <v>59</v>
      </c>
      <c r="K8" s="2">
        <v>42579</v>
      </c>
      <c r="L8">
        <v>7.4</v>
      </c>
      <c r="M8">
        <v>368051.95</v>
      </c>
      <c r="N8">
        <v>11317.12</v>
      </c>
      <c r="O8">
        <v>9837.15</v>
      </c>
      <c r="P8">
        <v>1479.97</v>
      </c>
      <c r="Q8" t="s">
        <v>60</v>
      </c>
      <c r="R8" t="s">
        <v>61</v>
      </c>
      <c r="S8" t="s">
        <v>62</v>
      </c>
      <c r="AA8" t="s">
        <v>62</v>
      </c>
      <c r="AC8">
        <v>3</v>
      </c>
      <c r="AD8" t="s">
        <v>76</v>
      </c>
      <c r="AE8" t="s">
        <v>63</v>
      </c>
      <c r="AG8" s="2">
        <v>44305</v>
      </c>
      <c r="AH8" t="s">
        <v>62</v>
      </c>
      <c r="AI8" t="s">
        <v>62</v>
      </c>
      <c r="AJ8" t="s">
        <v>63</v>
      </c>
      <c r="AK8">
        <v>492870.74</v>
      </c>
      <c r="AL8" t="s">
        <v>62</v>
      </c>
      <c r="AM8" t="s">
        <v>63</v>
      </c>
      <c r="AN8">
        <v>3</v>
      </c>
      <c r="AO8" t="s">
        <v>90</v>
      </c>
      <c r="AQ8" t="s">
        <v>91</v>
      </c>
      <c r="AR8" t="s">
        <v>63</v>
      </c>
    </row>
    <row r="9" spans="1:44" x14ac:dyDescent="0.25">
      <c r="A9" t="s">
        <v>85</v>
      </c>
      <c r="B9" t="s">
        <v>86</v>
      </c>
      <c r="C9" t="s">
        <v>87</v>
      </c>
      <c r="D9" t="s">
        <v>55</v>
      </c>
      <c r="E9" s="2">
        <v>36426</v>
      </c>
      <c r="F9">
        <v>24</v>
      </c>
      <c r="G9" t="s">
        <v>88</v>
      </c>
      <c r="H9" t="s">
        <v>89</v>
      </c>
      <c r="I9" t="s">
        <v>73</v>
      </c>
      <c r="J9" t="s">
        <v>59</v>
      </c>
      <c r="K9" s="2">
        <v>42579</v>
      </c>
      <c r="L9">
        <v>7.4</v>
      </c>
      <c r="M9">
        <v>368051.95</v>
      </c>
      <c r="N9">
        <v>11317.12</v>
      </c>
      <c r="O9">
        <v>9837.15</v>
      </c>
      <c r="P9">
        <v>1479.97</v>
      </c>
      <c r="Q9" t="s">
        <v>60</v>
      </c>
      <c r="R9" t="s">
        <v>61</v>
      </c>
      <c r="S9" t="s">
        <v>62</v>
      </c>
      <c r="AA9" t="s">
        <v>62</v>
      </c>
      <c r="AC9">
        <v>3</v>
      </c>
      <c r="AD9" t="s">
        <v>76</v>
      </c>
      <c r="AE9" t="s">
        <v>63</v>
      </c>
      <c r="AF9" t="s">
        <v>92</v>
      </c>
      <c r="AG9" s="2">
        <v>44305</v>
      </c>
      <c r="AH9" t="s">
        <v>62</v>
      </c>
      <c r="AI9" t="s">
        <v>62</v>
      </c>
      <c r="AJ9" t="s">
        <v>63</v>
      </c>
      <c r="AK9">
        <v>492870.74</v>
      </c>
      <c r="AL9" t="s">
        <v>62</v>
      </c>
      <c r="AM9" t="s">
        <v>63</v>
      </c>
      <c r="AN9">
        <v>3</v>
      </c>
      <c r="AO9" t="s">
        <v>90</v>
      </c>
      <c r="AQ9" t="s">
        <v>91</v>
      </c>
      <c r="AR9" t="s">
        <v>63</v>
      </c>
    </row>
    <row r="10" spans="1:44" x14ac:dyDescent="0.25">
      <c r="A10" t="s">
        <v>93</v>
      </c>
      <c r="B10" t="s">
        <v>94</v>
      </c>
      <c r="C10" t="s">
        <v>95</v>
      </c>
      <c r="D10" t="s">
        <v>55</v>
      </c>
      <c r="E10" s="2">
        <v>30110</v>
      </c>
      <c r="F10">
        <v>41</v>
      </c>
      <c r="G10" t="s">
        <v>96</v>
      </c>
      <c r="H10" t="s">
        <v>97</v>
      </c>
      <c r="I10" t="s">
        <v>73</v>
      </c>
      <c r="J10" t="s">
        <v>59</v>
      </c>
      <c r="K10" s="2">
        <v>43973</v>
      </c>
      <c r="L10">
        <v>3.6</v>
      </c>
      <c r="M10">
        <v>461148.18</v>
      </c>
      <c r="N10">
        <v>33249.129999999997</v>
      </c>
      <c r="O10">
        <v>22502.93</v>
      </c>
      <c r="P10">
        <v>10746.2</v>
      </c>
      <c r="Q10" t="s">
        <v>60</v>
      </c>
      <c r="R10" t="s">
        <v>61</v>
      </c>
      <c r="S10" t="s">
        <v>62</v>
      </c>
      <c r="AA10" t="s">
        <v>63</v>
      </c>
      <c r="AB10" s="2">
        <v>45889</v>
      </c>
      <c r="AC10">
        <v>3</v>
      </c>
      <c r="AD10" t="s">
        <v>76</v>
      </c>
      <c r="AE10" t="s">
        <v>63</v>
      </c>
      <c r="AF10" t="s">
        <v>65</v>
      </c>
      <c r="AG10" s="2">
        <v>44485</v>
      </c>
      <c r="AH10" t="s">
        <v>62</v>
      </c>
      <c r="AI10" t="s">
        <v>62</v>
      </c>
      <c r="AJ10" t="s">
        <v>62</v>
      </c>
      <c r="AL10" t="s">
        <v>63</v>
      </c>
      <c r="AM10" t="s">
        <v>63</v>
      </c>
      <c r="AN10">
        <v>3</v>
      </c>
      <c r="AO10" t="s">
        <v>66</v>
      </c>
      <c r="AP10" t="s">
        <v>98</v>
      </c>
      <c r="AQ10" t="s">
        <v>77</v>
      </c>
      <c r="AR10" t="s">
        <v>62</v>
      </c>
    </row>
    <row r="11" spans="1:44" x14ac:dyDescent="0.25">
      <c r="A11" t="s">
        <v>93</v>
      </c>
      <c r="B11" t="s">
        <v>94</v>
      </c>
      <c r="C11" t="s">
        <v>95</v>
      </c>
      <c r="D11" t="s">
        <v>55</v>
      </c>
      <c r="E11" s="2">
        <v>30110</v>
      </c>
      <c r="F11">
        <v>41</v>
      </c>
      <c r="G11" t="s">
        <v>96</v>
      </c>
      <c r="H11" t="s">
        <v>97</v>
      </c>
      <c r="I11" t="s">
        <v>73</v>
      </c>
      <c r="J11" t="s">
        <v>59</v>
      </c>
      <c r="K11" s="2">
        <v>43973</v>
      </c>
      <c r="L11">
        <v>3.6</v>
      </c>
      <c r="M11">
        <v>461148.18</v>
      </c>
      <c r="N11">
        <v>33249.129999999997</v>
      </c>
      <c r="O11">
        <v>22502.93</v>
      </c>
      <c r="P11">
        <v>10746.2</v>
      </c>
      <c r="Q11" t="s">
        <v>60</v>
      </c>
      <c r="R11" t="s">
        <v>61</v>
      </c>
      <c r="S11" t="s">
        <v>62</v>
      </c>
      <c r="AA11" t="s">
        <v>63</v>
      </c>
      <c r="AB11" s="2">
        <v>45209</v>
      </c>
      <c r="AC11">
        <v>3</v>
      </c>
      <c r="AD11" t="s">
        <v>76</v>
      </c>
      <c r="AE11" t="s">
        <v>63</v>
      </c>
      <c r="AF11" t="s">
        <v>65</v>
      </c>
      <c r="AG11" s="2">
        <v>44485</v>
      </c>
      <c r="AH11" t="s">
        <v>62</v>
      </c>
      <c r="AI11" t="s">
        <v>62</v>
      </c>
      <c r="AJ11" t="s">
        <v>62</v>
      </c>
      <c r="AL11" t="s">
        <v>63</v>
      </c>
      <c r="AM11" t="s">
        <v>63</v>
      </c>
      <c r="AN11">
        <v>3</v>
      </c>
      <c r="AO11" t="s">
        <v>66</v>
      </c>
      <c r="AP11" t="s">
        <v>98</v>
      </c>
      <c r="AQ11" t="s">
        <v>77</v>
      </c>
      <c r="AR11" t="s">
        <v>62</v>
      </c>
    </row>
    <row r="12" spans="1:44" x14ac:dyDescent="0.25">
      <c r="A12" t="s">
        <v>99</v>
      </c>
      <c r="B12" t="s">
        <v>100</v>
      </c>
      <c r="C12" t="s">
        <v>101</v>
      </c>
      <c r="D12" t="s">
        <v>102</v>
      </c>
      <c r="E12" s="2">
        <v>33381</v>
      </c>
      <c r="F12">
        <v>32</v>
      </c>
      <c r="G12" t="s">
        <v>81</v>
      </c>
      <c r="H12" t="s">
        <v>82</v>
      </c>
      <c r="I12" t="s">
        <v>58</v>
      </c>
      <c r="J12" t="s">
        <v>59</v>
      </c>
      <c r="K12" s="2">
        <v>42641</v>
      </c>
      <c r="L12">
        <v>7.3</v>
      </c>
      <c r="M12">
        <v>532899.09</v>
      </c>
      <c r="N12">
        <v>15219.71</v>
      </c>
      <c r="O12">
        <v>9748.7800000000007</v>
      </c>
      <c r="P12">
        <v>5470.93</v>
      </c>
      <c r="Q12" t="s">
        <v>60</v>
      </c>
      <c r="R12" t="s">
        <v>61</v>
      </c>
      <c r="S12" t="s">
        <v>62</v>
      </c>
      <c r="AA12" t="s">
        <v>63</v>
      </c>
      <c r="AB12" s="2">
        <v>45172</v>
      </c>
      <c r="AC12">
        <v>17</v>
      </c>
      <c r="AD12" t="s">
        <v>90</v>
      </c>
      <c r="AE12" t="s">
        <v>62</v>
      </c>
      <c r="AF12" t="s">
        <v>65</v>
      </c>
      <c r="AG12" s="2">
        <v>44555</v>
      </c>
      <c r="AH12" t="s">
        <v>62</v>
      </c>
      <c r="AI12" t="s">
        <v>62</v>
      </c>
      <c r="AJ12" t="s">
        <v>63</v>
      </c>
      <c r="AK12">
        <v>912753.66</v>
      </c>
      <c r="AL12" t="s">
        <v>62</v>
      </c>
      <c r="AM12" t="s">
        <v>62</v>
      </c>
      <c r="AN12">
        <v>2</v>
      </c>
      <c r="AO12" t="s">
        <v>64</v>
      </c>
      <c r="AP12" t="s">
        <v>103</v>
      </c>
      <c r="AQ12" t="s">
        <v>67</v>
      </c>
      <c r="AR12" t="s">
        <v>63</v>
      </c>
    </row>
    <row r="13" spans="1:44" x14ac:dyDescent="0.25">
      <c r="A13" t="s">
        <v>99</v>
      </c>
      <c r="B13" t="s">
        <v>100</v>
      </c>
      <c r="C13" t="s">
        <v>101</v>
      </c>
      <c r="D13" t="s">
        <v>102</v>
      </c>
      <c r="E13" s="2">
        <v>33381</v>
      </c>
      <c r="F13">
        <v>32</v>
      </c>
      <c r="G13" t="s">
        <v>81</v>
      </c>
      <c r="H13" t="s">
        <v>82</v>
      </c>
      <c r="I13" t="s">
        <v>58</v>
      </c>
      <c r="J13" t="s">
        <v>59</v>
      </c>
      <c r="K13" s="2">
        <v>42641</v>
      </c>
      <c r="L13">
        <v>7.3</v>
      </c>
      <c r="M13">
        <v>532899.09</v>
      </c>
      <c r="N13">
        <v>15219.71</v>
      </c>
      <c r="O13">
        <v>9748.7800000000007</v>
      </c>
      <c r="P13">
        <v>5470.93</v>
      </c>
      <c r="Q13" t="s">
        <v>60</v>
      </c>
      <c r="R13" t="s">
        <v>61</v>
      </c>
      <c r="S13" t="s">
        <v>62</v>
      </c>
      <c r="AA13" t="s">
        <v>63</v>
      </c>
      <c r="AB13" s="2">
        <v>45172</v>
      </c>
      <c r="AC13">
        <v>17</v>
      </c>
      <c r="AD13" t="s">
        <v>90</v>
      </c>
      <c r="AE13" t="s">
        <v>62</v>
      </c>
      <c r="AF13" t="s">
        <v>65</v>
      </c>
      <c r="AG13" s="2">
        <v>44555</v>
      </c>
      <c r="AH13" t="s">
        <v>62</v>
      </c>
      <c r="AI13" t="s">
        <v>62</v>
      </c>
      <c r="AJ13" t="s">
        <v>63</v>
      </c>
      <c r="AK13">
        <v>912753.66</v>
      </c>
      <c r="AL13" t="s">
        <v>62</v>
      </c>
      <c r="AM13" t="s">
        <v>62</v>
      </c>
      <c r="AN13">
        <v>2</v>
      </c>
      <c r="AO13" t="s">
        <v>64</v>
      </c>
      <c r="AP13" t="s">
        <v>103</v>
      </c>
      <c r="AQ13" t="s">
        <v>67</v>
      </c>
      <c r="AR13" t="s">
        <v>63</v>
      </c>
    </row>
    <row r="14" spans="1:44" x14ac:dyDescent="0.25">
      <c r="A14" t="s">
        <v>104</v>
      </c>
      <c r="B14" t="s">
        <v>105</v>
      </c>
      <c r="C14" t="s">
        <v>106</v>
      </c>
      <c r="D14" t="s">
        <v>102</v>
      </c>
      <c r="E14" s="2">
        <v>26197</v>
      </c>
      <c r="F14">
        <v>52</v>
      </c>
      <c r="G14" t="s">
        <v>96</v>
      </c>
      <c r="H14" t="s">
        <v>97</v>
      </c>
      <c r="I14" t="s">
        <v>107</v>
      </c>
      <c r="J14" t="s">
        <v>59</v>
      </c>
      <c r="K14" s="2">
        <v>43305</v>
      </c>
      <c r="L14">
        <v>5.4</v>
      </c>
      <c r="M14">
        <v>168510.97</v>
      </c>
      <c r="N14">
        <v>9013.69</v>
      </c>
      <c r="O14">
        <v>7234.22</v>
      </c>
      <c r="P14">
        <v>1779.47</v>
      </c>
      <c r="Q14" t="s">
        <v>60</v>
      </c>
      <c r="R14" t="s">
        <v>75</v>
      </c>
      <c r="S14" t="s">
        <v>62</v>
      </c>
      <c r="AA14" t="s">
        <v>63</v>
      </c>
      <c r="AB14" s="2">
        <v>45140</v>
      </c>
      <c r="AC14">
        <v>10</v>
      </c>
      <c r="AD14" t="s">
        <v>90</v>
      </c>
      <c r="AE14" t="s">
        <v>62</v>
      </c>
      <c r="AF14" t="s">
        <v>65</v>
      </c>
      <c r="AG14" s="2">
        <v>44231</v>
      </c>
      <c r="AH14" t="s">
        <v>62</v>
      </c>
      <c r="AI14" t="s">
        <v>62</v>
      </c>
      <c r="AJ14" t="s">
        <v>62</v>
      </c>
      <c r="AL14" t="s">
        <v>62</v>
      </c>
      <c r="AM14" t="s">
        <v>63</v>
      </c>
      <c r="AN14">
        <v>2</v>
      </c>
      <c r="AO14" t="s">
        <v>64</v>
      </c>
      <c r="AQ14" t="s">
        <v>91</v>
      </c>
      <c r="AR14" t="s">
        <v>62</v>
      </c>
    </row>
    <row r="15" spans="1:44" x14ac:dyDescent="0.25">
      <c r="A15" t="s">
        <v>104</v>
      </c>
      <c r="B15" t="s">
        <v>105</v>
      </c>
      <c r="C15" t="s">
        <v>108</v>
      </c>
      <c r="D15" t="s">
        <v>102</v>
      </c>
      <c r="E15" s="2">
        <v>26197</v>
      </c>
      <c r="F15">
        <v>52</v>
      </c>
      <c r="G15" t="s">
        <v>96</v>
      </c>
      <c r="H15" t="s">
        <v>97</v>
      </c>
      <c r="I15" t="s">
        <v>107</v>
      </c>
      <c r="J15" t="s">
        <v>59</v>
      </c>
      <c r="K15" s="2">
        <v>43305</v>
      </c>
      <c r="L15">
        <v>5.4</v>
      </c>
      <c r="M15">
        <v>168510.97</v>
      </c>
      <c r="N15">
        <v>9013.69</v>
      </c>
      <c r="O15">
        <v>7234.22</v>
      </c>
      <c r="P15">
        <v>1779.47</v>
      </c>
      <c r="Q15" t="s">
        <v>60</v>
      </c>
      <c r="R15" t="s">
        <v>75</v>
      </c>
      <c r="S15" t="s">
        <v>62</v>
      </c>
      <c r="AA15" t="s">
        <v>63</v>
      </c>
      <c r="AB15" s="2">
        <v>45140</v>
      </c>
      <c r="AC15">
        <v>10</v>
      </c>
      <c r="AD15" t="s">
        <v>90</v>
      </c>
      <c r="AE15" t="s">
        <v>62</v>
      </c>
      <c r="AF15" t="s">
        <v>65</v>
      </c>
      <c r="AG15" s="2">
        <v>44231</v>
      </c>
      <c r="AH15" t="s">
        <v>62</v>
      </c>
      <c r="AI15" t="s">
        <v>62</v>
      </c>
      <c r="AJ15" t="s">
        <v>62</v>
      </c>
      <c r="AL15" t="s">
        <v>62</v>
      </c>
      <c r="AM15" t="s">
        <v>63</v>
      </c>
      <c r="AN15">
        <v>2</v>
      </c>
      <c r="AO15" t="s">
        <v>64</v>
      </c>
      <c r="AQ15" t="s">
        <v>91</v>
      </c>
      <c r="AR15" t="s">
        <v>62</v>
      </c>
    </row>
    <row r="16" spans="1:44" x14ac:dyDescent="0.25">
      <c r="A16" t="s">
        <v>109</v>
      </c>
      <c r="B16" t="s">
        <v>110</v>
      </c>
      <c r="C16" t="s">
        <v>111</v>
      </c>
      <c r="D16" t="s">
        <v>102</v>
      </c>
      <c r="E16" s="2">
        <v>30196</v>
      </c>
      <c r="F16">
        <v>41</v>
      </c>
      <c r="G16" t="s">
        <v>71</v>
      </c>
      <c r="H16" t="s">
        <v>72</v>
      </c>
      <c r="I16" t="s">
        <v>107</v>
      </c>
      <c r="J16" t="s">
        <v>59</v>
      </c>
      <c r="K16" s="2">
        <v>44014</v>
      </c>
      <c r="L16">
        <v>3.5</v>
      </c>
      <c r="M16">
        <v>497834.63</v>
      </c>
      <c r="N16">
        <v>20266.240000000002</v>
      </c>
      <c r="O16">
        <v>18093.43</v>
      </c>
      <c r="P16">
        <v>2172.81</v>
      </c>
      <c r="Q16" t="s">
        <v>60</v>
      </c>
      <c r="R16" t="s">
        <v>61</v>
      </c>
      <c r="S16" t="s">
        <v>62</v>
      </c>
      <c r="AA16" t="s">
        <v>63</v>
      </c>
      <c r="AB16" s="2">
        <v>45215</v>
      </c>
      <c r="AC16">
        <v>25</v>
      </c>
      <c r="AD16" t="s">
        <v>64</v>
      </c>
      <c r="AE16" t="s">
        <v>63</v>
      </c>
      <c r="AF16" t="s">
        <v>65</v>
      </c>
      <c r="AG16" s="2">
        <v>44188</v>
      </c>
      <c r="AH16" t="s">
        <v>62</v>
      </c>
      <c r="AI16" t="s">
        <v>62</v>
      </c>
      <c r="AJ16" t="s">
        <v>63</v>
      </c>
      <c r="AK16">
        <v>404601.63</v>
      </c>
      <c r="AL16" t="s">
        <v>62</v>
      </c>
      <c r="AM16" t="s">
        <v>63</v>
      </c>
      <c r="AN16">
        <v>3</v>
      </c>
      <c r="AO16" t="s">
        <v>66</v>
      </c>
      <c r="AP16" t="s">
        <v>112</v>
      </c>
      <c r="AQ16" t="s">
        <v>77</v>
      </c>
      <c r="AR16" t="s">
        <v>62</v>
      </c>
    </row>
    <row r="17" spans="1:44" x14ac:dyDescent="0.25">
      <c r="A17" t="s">
        <v>109</v>
      </c>
      <c r="B17" t="s">
        <v>110</v>
      </c>
      <c r="C17" t="s">
        <v>113</v>
      </c>
      <c r="D17" t="s">
        <v>102</v>
      </c>
      <c r="E17" s="2">
        <v>30196</v>
      </c>
      <c r="F17">
        <v>41</v>
      </c>
      <c r="G17" t="s">
        <v>71</v>
      </c>
      <c r="H17" t="s">
        <v>72</v>
      </c>
      <c r="I17" t="s">
        <v>107</v>
      </c>
      <c r="J17" t="s">
        <v>59</v>
      </c>
      <c r="K17" s="2">
        <v>44014</v>
      </c>
      <c r="L17">
        <v>3.5</v>
      </c>
      <c r="M17">
        <v>497834.63</v>
      </c>
      <c r="N17">
        <v>20266.240000000002</v>
      </c>
      <c r="O17">
        <v>18093.43</v>
      </c>
      <c r="P17">
        <v>2172.81</v>
      </c>
      <c r="Q17" t="s">
        <v>60</v>
      </c>
      <c r="R17" t="s">
        <v>61</v>
      </c>
      <c r="S17" t="s">
        <v>62</v>
      </c>
      <c r="AA17" t="s">
        <v>63</v>
      </c>
      <c r="AB17" s="2">
        <v>45215</v>
      </c>
      <c r="AC17">
        <v>25</v>
      </c>
      <c r="AD17" t="s">
        <v>64</v>
      </c>
      <c r="AE17" t="s">
        <v>63</v>
      </c>
      <c r="AF17" t="s">
        <v>65</v>
      </c>
      <c r="AG17" s="2">
        <v>44188</v>
      </c>
      <c r="AH17" t="s">
        <v>62</v>
      </c>
      <c r="AI17" t="s">
        <v>62</v>
      </c>
      <c r="AJ17" t="s">
        <v>63</v>
      </c>
      <c r="AK17">
        <v>404601.63</v>
      </c>
      <c r="AL17" t="s">
        <v>62</v>
      </c>
      <c r="AM17" t="s">
        <v>63</v>
      </c>
      <c r="AN17">
        <v>3</v>
      </c>
      <c r="AO17" t="s">
        <v>66</v>
      </c>
      <c r="AP17" t="s">
        <v>112</v>
      </c>
      <c r="AQ17" t="s">
        <v>77</v>
      </c>
      <c r="AR17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10" sqref="C10"/>
    </sheetView>
  </sheetViews>
  <sheetFormatPr defaultRowHeight="15" x14ac:dyDescent="0.25"/>
  <sheetData>
    <row r="1" spans="1:2" x14ac:dyDescent="0.25">
      <c r="A1" s="1" t="s">
        <v>114</v>
      </c>
      <c r="B1" s="1" t="s">
        <v>115</v>
      </c>
    </row>
    <row r="2" spans="1:2" x14ac:dyDescent="0.25">
      <c r="A2" t="s">
        <v>116</v>
      </c>
      <c r="B2">
        <v>3</v>
      </c>
    </row>
    <row r="3" spans="1:2" x14ac:dyDescent="0.25">
      <c r="A3" t="s">
        <v>117</v>
      </c>
      <c r="B3">
        <v>4</v>
      </c>
    </row>
    <row r="4" spans="1:2" x14ac:dyDescent="0.25">
      <c r="A4" t="s">
        <v>118</v>
      </c>
      <c r="B4">
        <v>0</v>
      </c>
    </row>
    <row r="5" spans="1:2" x14ac:dyDescent="0.25">
      <c r="A5" t="s">
        <v>119</v>
      </c>
      <c r="B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Column_Summary</vt:lpstr>
      <vt:lpstr>Duplicate_Customers</vt:lpstr>
      <vt:lpstr>Potential_Issues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2026-05-24T06:32:44Z</dcterms:created>
  <dcterms:modified xsi:type="dcterms:W3CDTF">2026-05-25T02:17:45Z</dcterms:modified>
</cp:coreProperties>
</file>